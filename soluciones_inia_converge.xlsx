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ciones INIA Converge" sheetId="1" state="visible" r:id="rId1"/>
  </sheets>
  <definedNames>
    <definedName name="_xlnm._FilterDatabase" localSheetId="0" hidden="1">'Soluciones INIA Converge'!$A$1:$L$25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color rgb="000B5394"/>
      <sz val="10"/>
      <u val="single"/>
    </font>
  </fonts>
  <fills count="4">
    <fill>
      <patternFill/>
    </fill>
    <fill>
      <patternFill patternType="gray125"/>
    </fill>
    <fill>
      <patternFill patternType="solid">
        <fgColor rgb="001A472A"/>
        <bgColor rgb="001A472A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8" customWidth="1" min="4" max="4"/>
    <col width="32" customWidth="1" min="5" max="5"/>
    <col width="16" customWidth="1" min="6" max="6"/>
    <col width="15" customWidth="1" min="7" max="7"/>
    <col width="18" customWidth="1" min="8" max="8"/>
    <col width="18" customWidth="1" min="9" max="9"/>
    <col width="18" customWidth="1" min="10" max="10"/>
    <col width="15" customWidth="1" min="11" max="11"/>
    <col width="16" customWidth="1" min="12" max="12"/>
  </cols>
  <sheetData>
    <row r="1" ht="28" customHeight="1">
      <c r="A1" s="1" t="inlineStr">
        <is>
          <t>Categoría</t>
        </is>
      </c>
      <c r="B1" s="1" t="inlineStr">
        <is>
          <t>Subcategoría</t>
        </is>
      </c>
      <c r="C1" s="1" t="inlineStr">
        <is>
          <t>Solución / Empresa</t>
        </is>
      </c>
      <c r="D1" s="1" t="inlineStr">
        <is>
          <t>Postulación</t>
        </is>
      </c>
      <c r="E1" s="1" t="inlineStr">
        <is>
          <t>Período Verificación</t>
        </is>
      </c>
      <c r="F1" s="1" t="inlineStr">
        <is>
          <t>Publicación Web</t>
        </is>
      </c>
      <c r="G1" s="1" t="inlineStr">
        <is>
          <t>Ficha INIA</t>
        </is>
      </c>
      <c r="H1" s="1" t="inlineStr">
        <is>
          <t>Reporte Verificación</t>
        </is>
      </c>
      <c r="I1" s="1" t="inlineStr">
        <is>
          <t>Informe Detallado</t>
        </is>
      </c>
      <c r="J1" s="1" t="inlineStr">
        <is>
          <t>Testimonio</t>
        </is>
      </c>
      <c r="K1" s="1" t="inlineStr">
        <is>
          <t>Ficha Gráfica</t>
        </is>
      </c>
      <c r="L1" s="1" t="inlineStr">
        <is>
          <t>Web Oficial</t>
        </is>
      </c>
    </row>
    <row r="2" ht="24" customHeight="1">
      <c r="A2" s="2" t="inlineStr">
        <is>
          <t>Vegetal Extensivo</t>
        </is>
      </c>
      <c r="B2" s="2" t="inlineStr">
        <is>
          <t>Agricultura De Precisión</t>
        </is>
      </c>
      <c r="C2" s="2" t="inlineStr">
        <is>
          <t>AgriTechnovation</t>
        </is>
      </c>
      <c r="D2" s="3" t="inlineStr">
        <is>
          <t>Abril 2024</t>
        </is>
      </c>
      <c r="E2" s="4" t="inlineStr">
        <is>
          <t>Setiembre 2024 a Febrero 2025</t>
        </is>
      </c>
      <c r="F2" s="3" t="inlineStr">
        <is>
          <t>2025-02-21</t>
        </is>
      </c>
      <c r="G2" s="5">
        <f>HYPERLINK("https://inia.uy/Converge/Vegetal-extensivo/Agricultura-de-precisión/Agritechnovation", "Ver Ficha")</f>
        <v/>
      </c>
      <c r="H2" s="5">
        <f>HYPERLINK("https://inia.uy/sites/default/files/gras/contenidogras/Reportes/Converge/PaginasProductos/Agritechnovation/Reporte_Agri_Technovation.pdf", "Reporte (PDF)")</f>
        <v/>
      </c>
      <c r="I2" s="5">
        <f>HYPERLINK("https://inia.uy/sites/default/files/gras/contenidogras/Reportes/Converge/PaginasProductos/Agritechnovation/Informe%20Agri%20Technovation.pdf", "Extendido (PDF)")</f>
        <v/>
      </c>
      <c r="J2" s="5">
        <f>HYPERLINK("https://inia.uy/sites/default/files/gras/contenidogras/Reportes/Converge/PaginasProductos/Agritechnovation/Videotestimonio_AgriTechnovation.mp4", "Testimonio (Video)")</f>
        <v/>
      </c>
      <c r="K2" s="5">
        <f>HYPERLINK("https://inia.uy/sites/default/files/gras/contenidogras/Reportes/Converge/PaginasProductos/Agritechnovation/AgriTechnovation_Ficha.png", "Ficha Gráfica")</f>
        <v/>
      </c>
      <c r="L2" s="5">
        <f>HYPERLINK("https://agritechnovation.lat/", "Web Oficial")</f>
        <v/>
      </c>
    </row>
    <row r="3" ht="24" customHeight="1">
      <c r="A3" s="6" t="inlineStr">
        <is>
          <t>Vegetal Extensivo</t>
        </is>
      </c>
      <c r="B3" s="6" t="inlineStr">
        <is>
          <t>Agricultura De Precisión</t>
        </is>
      </c>
      <c r="C3" s="6" t="inlineStr">
        <is>
          <t>Agroyeitos</t>
        </is>
      </c>
      <c r="D3" s="7" t="inlineStr">
        <is>
          <t>Abril 2024</t>
        </is>
      </c>
      <c r="E3" s="8" t="inlineStr">
        <is>
          <t>Septiembre 2024 a Febrero 2025 (Zafra 2023-2024)</t>
        </is>
      </c>
      <c r="F3" s="7" t="inlineStr">
        <is>
          <t>2025-03-10</t>
        </is>
      </c>
      <c r="G3" s="9">
        <f>HYPERLINK("https://inia.uy/Converge/Vegetal-extensivo/Agricultura-de-precisión/Agroyeitos", "Ver Ficha")</f>
        <v/>
      </c>
      <c r="H3" s="9">
        <f>HYPERLINK("https://inia.uy/sites/default/files/gras/contenidogras/Reportes/Converge/PaginasProductos/Agroyeitos/Reporte%20Agroyeitos.pdf", "Reporte (PDF)")</f>
        <v/>
      </c>
      <c r="I3" s="9">
        <f>HYPERLINK("https://inia.uy/sites/default/files/gras/contenidogras/Reportes/Converge/PaginasProductos/Agroyeitos/Informe%20Agroyeitos.pdf", "Extendido (PDF)")</f>
        <v/>
      </c>
      <c r="J3" s="9">
        <f>HYPERLINK("https://inia.uy/sites/default/files/gras/contenidogras/Reportes/Converge/PaginasProductos/Agroyeitos/Videotestimonio_Agroyeitos.mp4", "Testimonio (Video)")</f>
        <v/>
      </c>
      <c r="K3" s="9">
        <f>HYPERLINK("https://inia.uy/sites/default/files/gras/contenidogras/Reportes/Converge/PaginasProductos/Agroyeitos/AgroyeitosFichaWeb.png", "Ficha Gráfica")</f>
        <v/>
      </c>
      <c r="L3" s="9">
        <f>HYPERLINK("https://www.danielmelo.com.uy/", "Web Oficial")</f>
        <v/>
      </c>
    </row>
    <row r="4" ht="24" customHeight="1">
      <c r="A4" s="2" t="inlineStr">
        <is>
          <t>Vegetal Extensivo</t>
        </is>
      </c>
      <c r="B4" s="2" t="inlineStr">
        <is>
          <t>Agricultura De Precisión</t>
        </is>
      </c>
      <c r="C4" s="2" t="inlineStr">
        <is>
          <t>Auravant</t>
        </is>
      </c>
      <c r="D4" s="3" t="inlineStr">
        <is>
          <t>Abril 2024</t>
        </is>
      </c>
      <c r="E4" s="4" t="inlineStr">
        <is>
          <t>Septiembre 2024 a Febrero 2025</t>
        </is>
      </c>
      <c r="F4" s="3" t="inlineStr">
        <is>
          <t>2025-02-04</t>
        </is>
      </c>
      <c r="G4" s="5">
        <f>HYPERLINK("https://inia.uy/Converge/vegetal-extensivo/agricultura-de-precisión/Auravant", "Ver Ficha")</f>
        <v/>
      </c>
      <c r="H4" s="5">
        <f>HYPERLINK("https://inia.uy/sites/default/files/gras/contenidogras/Reportes/Converge/PaginasProductos/Auravant/Reporte_Auravant.pdf", "Reporte (PDF)")</f>
        <v/>
      </c>
      <c r="I4" s="5">
        <f>HYPERLINK("https://inia.uy/sites/default/files/gras/contenidogras/Reportes/Converge/PaginasProductos/Auravant/Informe%20Auravant.pdf", "Extendido (PDF)")</f>
        <v/>
      </c>
      <c r="J4" s="5">
        <f>HYPERLINK("https://inia.uy/sites/default/files/gras/contenidogras/Reportes/Converge/PaginasProductos/Auravant/Testimonio_Auravant.pdf", "Testimonio (PDF)")</f>
        <v/>
      </c>
      <c r="K4" s="5">
        <f>HYPERLINK("https://inia.uy/sites/default/files/gras/contenidogras/Reportes/Converge/PaginasProductos/Auravant/AuravantFichaWeb.png", "Ficha Gráfica")</f>
        <v/>
      </c>
      <c r="L4" s="5">
        <f>HYPERLINK("https://www.auravant.com/", "Web Oficial")</f>
        <v/>
      </c>
    </row>
    <row r="5" ht="24" customHeight="1">
      <c r="A5" s="6" t="inlineStr">
        <is>
          <t>Vegetal Extensivo</t>
        </is>
      </c>
      <c r="B5" s="6" t="inlineStr">
        <is>
          <t>Agricultura De Precisión</t>
        </is>
      </c>
      <c r="C5" s="6" t="inlineStr">
        <is>
          <t>Smartway</t>
        </is>
      </c>
      <c r="D5" s="7" t="inlineStr">
        <is>
          <t>Abril 2024</t>
        </is>
      </c>
      <c r="E5" s="8" t="inlineStr">
        <is>
          <t>Octubre 2024 a Enero 2025</t>
        </is>
      </c>
      <c r="F5" s="7" t="inlineStr">
        <is>
          <t>2025-03-21</t>
        </is>
      </c>
      <c r="G5" s="9">
        <f>HYPERLINK("https://inia.uy/Converge/vegetal-extensivo/agricultura-de-precisión/Smartway", "Ver Ficha")</f>
        <v/>
      </c>
      <c r="H5" s="9">
        <f>HYPERLINK("https://inia.uy/sites/default/files/gras/contenidogras/Reportes/Converge/PaginasProductos/Smartway/Reporte_Smartway.pdf", "Reporte (PDF)")</f>
        <v/>
      </c>
      <c r="I5" s="9">
        <f>HYPERLINK("https://inia.uy/sites/default/files/gras/contenidogras/Reportes/Converge/PaginasProductos/Smartway/Informe_Smartway.pdf", "Extendido (PDF)")</f>
        <v/>
      </c>
      <c r="J5" s="9">
        <f>HYPERLINK("https://inia.uy/sites/default/files/gras/contenidogras/Reportes/Converge/PaginasProductos/Smartway/Testimonio_Smartway.pdf", "Testimonio (PDF)")</f>
        <v/>
      </c>
      <c r="K5" s="9">
        <f>HYPERLINK("https://inia.uy/sites/default/files/gras/contenidogras/Reportes/Converge/PaginasProductos/Smartway/Smartway_ficha_web.png", "Ficha Gráfica")</f>
        <v/>
      </c>
      <c r="L5" s="9">
        <f>HYPERLINK("https://www.onsmartway.com/agro/", "Web Oficial")</f>
        <v/>
      </c>
    </row>
    <row r="6" ht="24" customHeight="1">
      <c r="A6" s="2" t="inlineStr">
        <is>
          <t>Vegetal Extensivo</t>
        </is>
      </c>
      <c r="B6" s="2" t="inlineStr">
        <is>
          <t>Agricultura De Precisión</t>
        </is>
      </c>
      <c r="C6" s="2" t="inlineStr">
        <is>
          <t>Ucrop.it</t>
        </is>
      </c>
      <c r="D6" s="3" t="inlineStr">
        <is>
          <t>Abril 2024</t>
        </is>
      </c>
      <c r="E6" s="4" t="inlineStr">
        <is>
          <t>Enero a Mayo 2025 (Zafra 2024)</t>
        </is>
      </c>
      <c r="F6" s="3" t="inlineStr">
        <is>
          <t>2025-08-19</t>
        </is>
      </c>
      <c r="G6" s="5">
        <f>HYPERLINK("https://inia.uy/Converge/vegetal-extensivo/agricultura-de-precisión/Ucrop.it", "Ver Ficha")</f>
        <v/>
      </c>
      <c r="H6" s="5">
        <f>HYPERLINK("https://inia.uy/sites/default/files/gras/contenidogras/Reportes/Converge/PaginasProductos/Ucrop.it/Reporte%20Ucropit.pdf", "Reporte (PDF)")</f>
        <v/>
      </c>
      <c r="I6" s="5">
        <f>HYPERLINK("https://inia.uy/sites/default/files/gras/contenidogras/Reportes/Converge/PaginasProductos/Ucrop.it/Informe%20Ucropit.pdf", "Extendido (PDF)")</f>
        <v/>
      </c>
      <c r="J6" s="5">
        <f>HYPERLINK("https://inia.uy/sites/default/files/gras/contenidogras/Reportes/Converge/PaginasProductos/Ucrop.it/Testimonio%20ucropit.pdf", "Testimonio (PDF)")</f>
        <v/>
      </c>
      <c r="K6" s="5">
        <f>HYPERLINK("https://inia.uy/sites/default/files/gras/contenidogras/Reportes/Converge/PaginasProductos/Ucrop.it/FichaWebUcropit.png", "Ficha Gráfica")</f>
        <v/>
      </c>
      <c r="L6" s="5">
        <f>HYPERLINK("https://ucrop.it/es/inicio/", "Web Oficial")</f>
        <v/>
      </c>
    </row>
    <row r="7" ht="24" customHeight="1">
      <c r="A7" s="6" t="inlineStr">
        <is>
          <t>Vegetal Extensivo</t>
        </is>
      </c>
      <c r="B7" s="6" t="inlineStr">
        <is>
          <t>Forestal</t>
        </is>
      </c>
      <c r="C7" s="6" t="inlineStr">
        <is>
          <t>CompassForest</t>
        </is>
      </c>
      <c r="D7" s="7" t="inlineStr">
        <is>
          <t>Abril 2024</t>
        </is>
      </c>
      <c r="E7" s="8" t="inlineStr">
        <is>
          <t>Noviembre 2024 (Ensayos en Cerro Colorado)</t>
        </is>
      </c>
      <c r="F7" s="7" t="inlineStr">
        <is>
          <t>2025-02-04</t>
        </is>
      </c>
      <c r="G7" s="9">
        <f>HYPERLINK("https://inia.uy/Converge/vegetal-extensivo/forestal/Compassforest", "Ver Ficha")</f>
        <v/>
      </c>
      <c r="H7" s="9">
        <f>HYPERLINK("https://inia.uy/sites/default/files/gras/contenidogras/Reportes/Converge/PaginasProductos/CompassForest/Reporte%20CompassForest.pdf", "Reporte (PDF)")</f>
        <v/>
      </c>
      <c r="I7" s="7" t="inlineStr">
        <is>
          <t>-</t>
        </is>
      </c>
      <c r="J7" s="9">
        <f>HYPERLINK("https://inia.uy/sites/default/files/gras/contenidogras/Reportes/Converge/PaginasProductos/CompassForest/TestimonioPabloCooper.pdf", "Testimonio (PDF)")</f>
        <v/>
      </c>
      <c r="K7" s="9">
        <f>HYPERLINK("https://inia.uy/sites/default/files/gras/contenidogras/Reportes/Converge/PaginasProductos/CompassForest/CompassForestFichaWeb.png", "Ficha Gráfica")</f>
        <v/>
      </c>
      <c r="L7" s="9">
        <f>HYPERLINK("https://compassforest.com/", "Web Oficial")</f>
        <v/>
      </c>
    </row>
    <row r="8" ht="24" customHeight="1">
      <c r="A8" s="2" t="inlineStr">
        <is>
          <t>Vegetal Extensivo</t>
        </is>
      </c>
      <c r="B8" s="2" t="inlineStr">
        <is>
          <t>Arroz</t>
        </is>
      </c>
      <c r="C8" s="2" t="inlineStr">
        <is>
          <t>Oryzativa</t>
        </is>
      </c>
      <c r="D8" s="3" t="inlineStr">
        <is>
          <t>Abril 2024</t>
        </is>
      </c>
      <c r="E8" s="4" t="inlineStr">
        <is>
          <t>Zafras de Arroz 2022 a 2024</t>
        </is>
      </c>
      <c r="F8" s="3" t="inlineStr">
        <is>
          <t>2025-02-04</t>
        </is>
      </c>
      <c r="G8" s="5">
        <f>HYPERLINK("https://inia.uy/Converge/vegetal-extensivo/arroz/Oryzativa", "Ver Ficha")</f>
        <v/>
      </c>
      <c r="H8" s="5">
        <f>HYPERLINK("https://inia.uy/sites/default/files/gras/contenidogras/Reportes/Converge/PaginasProductos/Oryzativa/Reporte%20Oryzativa.pdf", "Reporte (PDF)")</f>
        <v/>
      </c>
      <c r="I8" s="5">
        <f>HYPERLINK("http://www.ainfo.inia.uy/digital/bitstream/item/17618/1/st-267-2023.pdf", "Extendido (PDF)")</f>
        <v/>
      </c>
      <c r="J8" s="5">
        <f>HYPERLINK("https://inia.uy/sites/default/files/gras/contenidogras/Reportes/Converge/PaginasProductos/Oryzativa/VideoOryzativa.mp4", "Testimonio (Video)")</f>
        <v/>
      </c>
      <c r="K8" s="5">
        <f>HYPERLINK("https://inia.uy/sites/default/files/gras/contenidogras/Reportes/Converge/PaginasProductos/Oryzativa/OryzativaFichaWeb.png", "Ficha Gráfica")</f>
        <v/>
      </c>
      <c r="L8" s="5">
        <f>HYPERLINK("https://www.oryzativa.com/", "Web Oficial")</f>
        <v/>
      </c>
    </row>
    <row r="9" ht="24" customHeight="1">
      <c r="A9" s="6" t="inlineStr">
        <is>
          <t>Vegetal Extensivo</t>
        </is>
      </c>
      <c r="B9" s="6" t="inlineStr">
        <is>
          <t>Monitoreo Fitosanitario</t>
        </is>
      </c>
      <c r="C9" s="6" t="inlineStr">
        <is>
          <t>BioGuardians</t>
        </is>
      </c>
      <c r="D9" s="7" t="inlineStr">
        <is>
          <t>Abril 2024</t>
        </is>
      </c>
      <c r="E9" s="8" t="inlineStr">
        <is>
          <t>Campañas agrícolas 2024–2025</t>
        </is>
      </c>
      <c r="F9" s="7" t="inlineStr">
        <is>
          <t>2026-09-09</t>
        </is>
      </c>
      <c r="G9" s="9">
        <f>HYPERLINK("https://inia.uy/Converge/vegetal-extensivo/monitoreo-fitosanitario/BioGuardians", "Ver Ficha")</f>
        <v/>
      </c>
      <c r="H9" s="9">
        <f>HYPERLINK("https://inia.uy/sites/default/files/gras/contenidogras/Reportes/Converge/PaginasProductos/BioGuardians/Reporte_BioGuardians%20.pdf", "Reporte (PDF)")</f>
        <v/>
      </c>
      <c r="I9" s="9">
        <f>HYPERLINK("https://inia.uy/sites/default/files/gras/contenidogras/Reportes/Converge/PaginasProductos/BioGuardians/Informe_BioGuardians.pdf", "Extendido (PDF)")</f>
        <v/>
      </c>
      <c r="J9" s="9">
        <f>HYPERLINK("https://inia.uy/sites/default/files/gras/contenidogras/Reportes/Converge/PaginasProductos/BioGuardians/Testimonio_Bioguardians.pdf", "Testimonio (PDF)")</f>
        <v/>
      </c>
      <c r="K9" s="9">
        <f>HYPERLINK("https://inia.uy/sites/default/files/gras/contenidogras/Reportes/Converge/PaginasProductos/BioGuardians/BioGuardians_FichaWeb.png", "Ficha Gráfica")</f>
        <v/>
      </c>
      <c r="L9" s="9">
        <f>HYPERLINK("https://www.bioguardiansuy.com/", "Web Oficial")</f>
        <v/>
      </c>
    </row>
    <row r="10" ht="24" customHeight="1">
      <c r="A10" s="2" t="inlineStr">
        <is>
          <t>Vegetal Extensivo</t>
        </is>
      </c>
      <c r="B10" s="2" t="inlineStr">
        <is>
          <t>Control De Aplicaciones</t>
        </is>
      </c>
      <c r="C10" s="2" t="inlineStr">
        <is>
          <t>DeepAgro</t>
        </is>
      </c>
      <c r="D10" s="3" t="inlineStr">
        <is>
          <t>Septiembre 2023</t>
        </is>
      </c>
      <c r="E10" s="4" t="inlineStr">
        <is>
          <t>Febrero a Julio 2025 (Barbecho en 5 chacras)</t>
        </is>
      </c>
      <c r="F10" s="3" t="inlineStr">
        <is>
          <t>2025-09-10</t>
        </is>
      </c>
      <c r="G10" s="5">
        <f>HYPERLINK("https://www.inia.uy/Converge/vegetal-extensivo/control-de-aplicaciones/Deepagro", "Ver Ficha")</f>
        <v/>
      </c>
      <c r="H10" s="5">
        <f>HYPERLINK("https://inia.uy/sites/default/files/gras/contenidogras/Reportes/Converge/PaginasProductos/DeepAgro/Reporte%20DeepAgro.pdf", "Reporte (PDF)")</f>
        <v/>
      </c>
      <c r="I10" s="5">
        <f>HYPERLINK("https://inia.uy/sites/default/files/gras/contenidogras/Reportes/Converge/PaginasProductos/DeepAgro/Informe%20DeepAgro.pdf", "Extendido (PDF)")</f>
        <v/>
      </c>
      <c r="J10" s="5">
        <f>HYPERLINK("https://inia.uy/sites/default/files/gras/contenidogras/Reportes/Converge/PaginasProductos/DeepAgro/VideoValidacionDeepAgro.mp4", "Testimonio (Video)")</f>
        <v/>
      </c>
      <c r="K10" s="5">
        <f>HYPERLINK("https://inia.uy/sites/default/files/gras/contenidogras/Reportes/Converge/PaginasProductos/DeepAgro/Ficha%20Web%20DeepAgro.png", "Ficha Gráfica")</f>
        <v/>
      </c>
      <c r="L10" s="5">
        <f>HYPERLINK("https://www.deepagro.com/es/", "Web Oficial")</f>
        <v/>
      </c>
    </row>
    <row r="11" ht="24" customHeight="1">
      <c r="A11" s="6" t="inlineStr">
        <is>
          <t>Producción Animal</t>
        </is>
      </c>
      <c r="B11" s="6" t="inlineStr">
        <is>
          <t>Ganadería</t>
        </is>
      </c>
      <c r="C11" s="6" t="inlineStr">
        <is>
          <t>Baqueano</t>
        </is>
      </c>
      <c r="D11" s="7" t="inlineStr">
        <is>
          <t>Abril 2024</t>
        </is>
      </c>
      <c r="E11" s="8" t="inlineStr">
        <is>
          <t>Diciembre 2024 (Ensayos campo set-oct 2024)</t>
        </is>
      </c>
      <c r="F11" s="7" t="inlineStr">
        <is>
          <t>2025-02-04</t>
        </is>
      </c>
      <c r="G11" s="9">
        <f>HYPERLINK("https://inia.uy/Converge/Producción-animal/Ganadería/Baqueano", "Ver Ficha")</f>
        <v/>
      </c>
      <c r="H11" s="9">
        <f>HYPERLINK("https://inia.uy/sites/default/files/gras/contenidogras/Reportes/Converge/PaginasProductos/Baqueano/Reporte_Baqueano.pdf", "Reporte (PDF)")</f>
        <v/>
      </c>
      <c r="I11" s="9">
        <f>HYPERLINK("https://inia.uy/sites/default/files/gras/contenidogras/Reportes/Converge/PaginasProductos/Baqueano/Informe_Baqueano.pdf", "Extendido (PDF)")</f>
        <v/>
      </c>
      <c r="J11" s="9">
        <f>HYPERLINK("https://inia.uy/sites/default/files/gras/contenidogras/Reportes/Converge/PaginasProductos/Baqueano/VideoBaqueano.mp4", "Testimonio (Video)")</f>
        <v/>
      </c>
      <c r="K11" s="9">
        <f>HYPERLINK("https://inia.uy/sites/default/files/gras/contenidogras/Reportes/Converge/PaginasProductos/Baqueano/BaqueanoFichaWeb.png", "Ficha Gráfica")</f>
        <v/>
      </c>
      <c r="L11" s="9">
        <f>HYPERLINK("https://www.baqueano.com.uy/", "Web Oficial")</f>
        <v/>
      </c>
    </row>
    <row r="12" ht="24" customHeight="1">
      <c r="A12" s="2" t="inlineStr">
        <is>
          <t>Producción Animal</t>
        </is>
      </c>
      <c r="B12" s="2" t="inlineStr">
        <is>
          <t>Ganadería</t>
        </is>
      </c>
      <c r="C12" s="2" t="inlineStr">
        <is>
          <t>Cattler</t>
        </is>
      </c>
      <c r="D12" s="3" t="inlineStr">
        <is>
          <t>Octubre 2024</t>
        </is>
      </c>
      <c r="E12" s="4" t="inlineStr">
        <is>
          <t>Abril 2025 (Jornada técnica en feedlot)</t>
        </is>
      </c>
      <c r="F12" s="3" t="inlineStr">
        <is>
          <t>2025-05-23</t>
        </is>
      </c>
      <c r="G12" s="5">
        <f>HYPERLINK("https://inia.uy/Converge/Producción-animal/Ganadería/Cattler", "Ver Ficha")</f>
        <v/>
      </c>
      <c r="H12" s="5">
        <f>HYPERLINK("https://inia.uy/sites/default/files/gras/contenidogras/Reportes/Converge/PaginasProductos/Cattler/Reporte_Cattler.pdf", "Reporte (PDF)")</f>
        <v/>
      </c>
      <c r="I12" s="3" t="inlineStr">
        <is>
          <t>-</t>
        </is>
      </c>
      <c r="J12" s="5">
        <f>HYPERLINK("https://inia.uy/sites/default/files/gras/contenidogras/Reportes/Converge/PaginasProductos/Cattler/VideoCattler.mp4", "Testimonio (Video)")</f>
        <v/>
      </c>
      <c r="K12" s="5">
        <f>HYPERLINK("https://inia.uy/sites/default/files/gras/contenidogras/Reportes/Converge/PaginasProductos/Cattler/CattlerFichaWeb.png", "Ficha Gráfica")</f>
        <v/>
      </c>
      <c r="L12" s="5">
        <f>HYPERLINK("https://www.cattler.com.ar/", "Web Oficial")</f>
        <v/>
      </c>
    </row>
    <row r="13" ht="24" customHeight="1">
      <c r="A13" s="6" t="inlineStr">
        <is>
          <t>Producción Animal</t>
        </is>
      </c>
      <c r="B13" s="6" t="inlineStr">
        <is>
          <t>Ganadería</t>
        </is>
      </c>
      <c r="C13" s="6" t="inlineStr">
        <is>
          <t>Insights</t>
        </is>
      </c>
      <c r="D13" s="7" t="inlineStr">
        <is>
          <t>Octubre 2024</t>
        </is>
      </c>
      <c r="E13" s="8" t="inlineStr">
        <is>
          <t>Abril a Agosto 2025 (Sede INIA Glencoe)</t>
        </is>
      </c>
      <c r="F13" s="7" t="inlineStr">
        <is>
          <t>2025-11-28</t>
        </is>
      </c>
      <c r="G13" s="9">
        <f>HYPERLINK("https://inia.uy/Converge/Producción-animal/Ganadería/Insights", "Ver Ficha")</f>
        <v/>
      </c>
      <c r="H13" s="9">
        <f>HYPERLINK("https://inia.uy/sites/default/files/gras/contenidogras/Reportes/Converge/PaginasProductos/Insights/Reporte_Insights.pdf", "Reporte (PDF)")</f>
        <v/>
      </c>
      <c r="I13" s="9">
        <f>HYPERLINK("https://inia.uy/sites/default/files/gras/contenidogras/Reportes/Converge/PaginasProductos/Insights/Informe_Insights.pdf", "Extendido (PDF)")</f>
        <v/>
      </c>
      <c r="J13" s="9">
        <f>HYPERLINK("https://inia.uy/sites/default/files/gras/contenidogras/Reportes/Converge/PaginasProductos/Insights/Testimonio_Insights.pdf", "Testimonio (PDF)")</f>
        <v/>
      </c>
      <c r="K13" s="9">
        <f>HYPERLINK("https://inia.uy/sites/default/files/gras/contenidogras/Reportes/Converge/PaginasProductos/Insights/Ficha_web_Insights.png", "Ficha Gráfica")</f>
        <v/>
      </c>
      <c r="L13" s="9">
        <f>HYPERLINK("https://insightsit.com/", "Web Oficial")</f>
        <v/>
      </c>
    </row>
    <row r="14" ht="24" customHeight="1">
      <c r="A14" s="2" t="inlineStr">
        <is>
          <t>Producción Animal</t>
        </is>
      </c>
      <c r="B14" s="2" t="inlineStr">
        <is>
          <t>Ganadería</t>
        </is>
      </c>
      <c r="C14" s="2" t="inlineStr">
        <is>
          <t>Pastech</t>
        </is>
      </c>
      <c r="D14" s="3" t="inlineStr">
        <is>
          <t>Octubre 2024</t>
        </is>
      </c>
      <c r="E14" s="4" t="inlineStr">
        <is>
          <t>Mayo a Octubre 2025</t>
        </is>
      </c>
      <c r="F14" s="3" t="inlineStr">
        <is>
          <t>2026-01-22</t>
        </is>
      </c>
      <c r="G14" s="5">
        <f>HYPERLINK("https://inia.uy/Converge/Producción-animal/Ganadería/Pastech", "Ver Ficha")</f>
        <v/>
      </c>
      <c r="H14" s="5">
        <f>HYPERLINK("https://inia.uy/sites/default/files/gras/contenidogras/Reportes/Converge/PaginasProductos/Pastech/Reporte%20Pastech.pdf", "Reporte (PDF)")</f>
        <v/>
      </c>
      <c r="I14" s="5">
        <f>HYPERLINK("https://inia.uy/sites/default/files/gras/contenidogras/Reportes/Converge/PaginasProductos/Pastech/Informe%20Pastech.pdf", "Extendido (PDF)")</f>
        <v/>
      </c>
      <c r="J14" s="5">
        <f>HYPERLINK("https://inia.uy/sites/default/files/gras/contenidogras/Reportes/Converge/PaginasProductos/Pastech/Testimonio%20Pastech.pdf", "Testimonio (PDF)")</f>
        <v/>
      </c>
      <c r="K14" s="5">
        <f>HYPERLINK("https://inia.uy/sites/default/files/gras/contenidogras/Reportes/Converge/PaginasProductos/Pastech/PastechFichaWeb.png", "Ficha Gráfica")</f>
        <v/>
      </c>
      <c r="L14" s="5">
        <f>HYPERLINK("https://pastech.com.ar/", "Web Oficial")</f>
        <v/>
      </c>
    </row>
    <row r="15" ht="24" customHeight="1">
      <c r="A15" s="6" t="inlineStr">
        <is>
          <t>Producción Animal</t>
        </is>
      </c>
      <c r="B15" s="6" t="inlineStr">
        <is>
          <t>Lechería</t>
        </is>
      </c>
      <c r="C15" s="6" t="inlineStr">
        <is>
          <t>HerdVision</t>
        </is>
      </c>
      <c r="D15" s="7" t="inlineStr">
        <is>
          <t>Abril 2024</t>
        </is>
      </c>
      <c r="E15" s="8" t="inlineStr">
        <is>
          <t>Julio a Octubre 2025</t>
        </is>
      </c>
      <c r="F15" s="7" t="inlineStr">
        <is>
          <t>2025-11-17</t>
        </is>
      </c>
      <c r="G15" s="9">
        <f>HYPERLINK("https://inia.uy/Converge/Producción-animal/Lechería/HerdVision", "Ver Ficha")</f>
        <v/>
      </c>
      <c r="H15" s="9">
        <f>HYPERLINK("https://inia.uy/sites/default/files/gras/contenidogras/Reportes/Converge/PaginasProductos/HerdVision/Reporte_Herdvision.pdf", "Reporte (PDF)")</f>
        <v/>
      </c>
      <c r="I15" s="9">
        <f>HYPERLINK("https://inia.uy/sites/default/files/gras/contenidogras/Reportes/Converge/PaginasProductos/HerdVision/Informe_Herdvision.pdf", "Extendido (PDF)")</f>
        <v/>
      </c>
      <c r="J15" s="9">
        <f>HYPERLINK("https://inia.uy/sites/default/files/gras/contenidogras/Reportes/Converge/PaginasProductos/HerdVision/Testimonio_Herdvision.pdf", "Testimonio (PDF)")</f>
        <v/>
      </c>
      <c r="K15" s="9">
        <f>HYPERLINK("https://inia.uy/sites/default/files/gras/contenidogras/Reportes/Converge/PaginasProductos/HerdVision/HerdvisionFichaWeb.png", "Ficha Gráfica")</f>
        <v/>
      </c>
      <c r="L15" s="9">
        <f>HYPERLINK("https://herd.vision/", "Web Oficial")</f>
        <v/>
      </c>
    </row>
    <row r="16" ht="24" customHeight="1">
      <c r="A16" s="2" t="inlineStr">
        <is>
          <t>Producción Animal</t>
        </is>
      </c>
      <c r="B16" s="2" t="inlineStr">
        <is>
          <t>Lechería</t>
        </is>
      </c>
      <c r="C16" s="2" t="inlineStr">
        <is>
          <t>SmaXtec</t>
        </is>
      </c>
      <c r="D16" s="3" t="inlineStr">
        <is>
          <t>Abril 2024</t>
        </is>
      </c>
      <c r="E16" s="4" t="inlineStr">
        <is>
          <t>Años 2020 a 2021 (Ensayos corral y pH)</t>
        </is>
      </c>
      <c r="F16" s="3" t="inlineStr">
        <is>
          <t>2025-02-04</t>
        </is>
      </c>
      <c r="G16" s="5">
        <f>HYPERLINK("https://inia.uy/Converge/Producción-animal/Lechería/Smaxtec", "Ver Ficha")</f>
        <v/>
      </c>
      <c r="H16" s="5">
        <f>HYPERLINK("https://inia.uy/sites/default/files/gras/contenidogras/Reportes/Converge/PaginasProductos/SmaXtec/Reporte%20SmaXtec.pdf", "Reporte (PDF)")</f>
        <v/>
      </c>
      <c r="I16" s="3" t="inlineStr">
        <is>
          <t>-</t>
        </is>
      </c>
      <c r="J16" s="5">
        <f>HYPERLINK("https://inia.uy/sites/default/files/gras/contenidogras/Reportes/Converge/PaginasProductos/SmaXtec/Testimonio_SmaXtec.pdf", "Testimonio (PDF)")</f>
        <v/>
      </c>
      <c r="K16" s="5">
        <f>HYPERLINK("https://inia.uy/sites/default/files/gras/contenidogras/Reportes/Converge/PaginasProductos/SmaXtec/SmaXtecFichaWeb.png", "Ficha Gráfica")</f>
        <v/>
      </c>
      <c r="L16" s="5">
        <f>HYPERLINK("https://krebz.com.uy/", "Web Oficial")</f>
        <v/>
      </c>
    </row>
    <row r="17" ht="24" customHeight="1">
      <c r="A17" s="6" t="inlineStr">
        <is>
          <t>Producción Animal</t>
        </is>
      </c>
      <c r="B17" s="6" t="inlineStr">
        <is>
          <t>Porcinos</t>
        </is>
      </c>
      <c r="C17" s="6" t="inlineStr">
        <is>
          <t>metaBix</t>
        </is>
      </c>
      <c r="D17" s="7" t="inlineStr">
        <is>
          <t>Abril 2024</t>
        </is>
      </c>
      <c r="E17" s="8" t="inlineStr">
        <is>
          <t>Agosto a Noviembre 2025 (9 sem. recría/preengorde)</t>
        </is>
      </c>
      <c r="F17" s="7" t="inlineStr">
        <is>
          <t>2025-12-02</t>
        </is>
      </c>
      <c r="G17" s="9">
        <f>HYPERLINK("https://inia.uy/Converge/Producción-animal/Porcinos/metaBix", "Ver Ficha")</f>
        <v/>
      </c>
      <c r="H17" s="9">
        <f>HYPERLINK("https://inia.uy/sites/default/files/gras/contenidogras/Reportes/Converge/PaginasProductos/metaBix/Reporte_metaBix_porcinos.pdf", "Reporte (PDF)")</f>
        <v/>
      </c>
      <c r="I17" s="9">
        <f>HYPERLINK("https://inia.uy/sites/default/files/gras/contenidogras/Reportes/Converge/PaginasProductos/metaBix/Informe_metaBIX_porcinos.pdf", "Extendido (PDF)")</f>
        <v/>
      </c>
      <c r="J17" s="9">
        <f>HYPERLINK("https://inia.uy/sites/default/files/gras/contenidogras/Reportes/Converge/PaginasProductos/metaBix/Testimonio_metaBIX_porcinos.pdf", "Testimonio (PDF)")</f>
        <v/>
      </c>
      <c r="K17" s="9">
        <f>HYPERLINK("https://inia.uy/sites/default/files/gras/contenidogras/Reportes/Converge/PaginasProductos/metaBix/Ficha_metaBIX_Porcinos.png", "Ficha Gráfica")</f>
        <v/>
      </c>
      <c r="L17" s="9">
        <f>HYPERLINK("https://metabixbiotech.com/es/inicio", "Web Oficial")</f>
        <v/>
      </c>
    </row>
    <row r="18" ht="24" customHeight="1">
      <c r="A18" s="2" t="inlineStr">
        <is>
          <t>Producción Animal</t>
        </is>
      </c>
      <c r="B18" s="2" t="inlineStr">
        <is>
          <t>Avicola</t>
        </is>
      </c>
      <c r="C18" s="2" t="inlineStr">
        <is>
          <t>metaBix Avícola</t>
        </is>
      </c>
      <c r="D18" s="3" t="inlineStr">
        <is>
          <t>Abril 2024</t>
        </is>
      </c>
      <c r="E18" s="4" t="inlineStr">
        <is>
          <t>Octubre a Diciembre 2025 (Engorde y postura)</t>
        </is>
      </c>
      <c r="F18" s="3" t="inlineStr">
        <is>
          <t>2026-01-07</t>
        </is>
      </c>
      <c r="G18" s="5">
        <f>HYPERLINK("https://inia.uy/Converge/producci%C3%B3n-animal/avicola/metaBix-avicola", "Ver Ficha")</f>
        <v/>
      </c>
      <c r="H18" s="5">
        <f>HYPERLINK("https://inia.uy/sites/default/files/gras/contenidogras/Reportes/Converge/PaginasProductos/metaBix_avicola/Reporte_metaBix_avicola.pdf", "Reporte (PDF)")</f>
        <v/>
      </c>
      <c r="I18" s="5">
        <f>HYPERLINK("https://inia.uy/sites/default/files/gras/contenidogras/Reportes/Converge/PaginasProductos/metaBix_avicola/Informe_metaBIX_avicola.pdf", "Extendido (PDF)")</f>
        <v/>
      </c>
      <c r="J18" s="5">
        <f>HYPERLINK("https://inia.uy/sites/default/files/gras/contenidogras/Reportes/Converge/PaginasProductos/metaBix_avicola/Testimonio_metaBIX_avicola.pdf", "Testimonio (PDF)")</f>
        <v/>
      </c>
      <c r="K18" s="5">
        <f>HYPERLINK("https://inia.uy/sites/default/files/gras/contenidogras/Reportes/Converge/PaginasProductos/metaBix_avicola/Ficha_metaBIX_avicola.png", "Ficha Gráfica")</f>
        <v/>
      </c>
      <c r="L18" s="5">
        <f>HYPERLINK("https://metabixbiotech.com/es/inicio", "Web Oficial")</f>
        <v/>
      </c>
    </row>
    <row r="19" ht="24" customHeight="1">
      <c r="A19" s="6" t="inlineStr">
        <is>
          <t>Vegetal Intensivo</t>
        </is>
      </c>
      <c r="B19" s="6" t="inlineStr">
        <is>
          <t>Riego</t>
        </is>
      </c>
      <c r="C19" s="6" t="inlineStr">
        <is>
          <t>Autolink</t>
        </is>
      </c>
      <c r="D19" s="7" t="inlineStr">
        <is>
          <t>Octubre 2024</t>
        </is>
      </c>
      <c r="E19" s="8" t="inlineStr">
        <is>
          <t>Febrero a Abril 2025</t>
        </is>
      </c>
      <c r="F19" s="7" t="inlineStr">
        <is>
          <t>2025-06-26</t>
        </is>
      </c>
      <c r="G19" s="9">
        <f>HYPERLINK("https://inia.uy/Converge/vegetal-intensivo/riego/Autolink", "Ver Ficha")</f>
        <v/>
      </c>
      <c r="H19" s="9">
        <f>HYPERLINK("https://inia.uy/sites/default/files/gras/contenidogras/Reportes/Converge/PaginasProductos/Autolink/Reporte%20Autolink.pdf", "Reporte (PDF)")</f>
        <v/>
      </c>
      <c r="I19" s="9">
        <f>HYPERLINK("https://inia.uy/sites/default/files/gras/contenidogras/Reportes/Converge/PaginasProductos/Autolink/Informe%20Autolink.pdf", "Extendido (PDF)")</f>
        <v/>
      </c>
      <c r="J19" s="9">
        <f>HYPERLINK("https://inia.uy/sites/default/files/gras/contenidogras/Reportes/Converge/PaginasProductos/Autolink/Videotestimonio_Autolink.mp4", "Testimonio (Video)")</f>
        <v/>
      </c>
      <c r="K19" s="9">
        <f>HYPERLINK("https://inia.uy/sites/default/files/gras/contenidogras/Reportes/Converge/PaginasProductos/Autolink/AutolinkFichaWeb.png", "Ficha Gráfica")</f>
        <v/>
      </c>
      <c r="L19" s="9">
        <f>HYPERLINK("https://autolink.com.uy/", "Web Oficial")</f>
        <v/>
      </c>
    </row>
    <row r="20" ht="24" customHeight="1">
      <c r="A20" s="2" t="inlineStr">
        <is>
          <t>Vegetal Intensivo</t>
        </is>
      </c>
      <c r="B20" s="2" t="inlineStr">
        <is>
          <t>Riego</t>
        </is>
      </c>
      <c r="C20" s="2" t="inlineStr">
        <is>
          <t>Nettra_Riego</t>
        </is>
      </c>
      <c r="D20" s="3" t="inlineStr">
        <is>
          <t>Septiembre 2023</t>
        </is>
      </c>
      <c r="E20" s="4" t="inlineStr">
        <is>
          <t>Junio 2024 a Junio 2025 (INIA Las Brujas)</t>
        </is>
      </c>
      <c r="F20" s="3" t="inlineStr">
        <is>
          <t>2025-08-08</t>
        </is>
      </c>
      <c r="G20" s="5">
        <f>HYPERLINK("https://inia.uy/Converge/vegetal-intensivo/riego/Nettra", "Ver Ficha")</f>
        <v/>
      </c>
      <c r="H20" s="5">
        <f>HYPERLINK("https://inia.uy/sites/default/files/gras/contenidogras/Reportes/Converge/PaginasProductos/Nettra_Riego/Reporte%20Nettra%20Riego.pdf", "Reporte (PDF)")</f>
        <v/>
      </c>
      <c r="I20" s="5">
        <f>HYPERLINK("https://inia.uy/sites/default/files/gras/contenidogras/Reportes/Converge/PaginasProductos/Nettra_Riego/Informe%20Nettra%20Riego.pdf", "Extendido (PDF)")</f>
        <v/>
      </c>
      <c r="J20" s="5">
        <f>HYPERLINK("https://inia.uy/sites/default/files/gras/contenidogras/Reportes/Converge/PaginasProductos/Nettra_Riego/Testimonio%20Nettra%20Riego.pdf", "Testimonio (PDF)")</f>
        <v/>
      </c>
      <c r="K20" s="5">
        <f>HYPERLINK("https://inia.uy/sites/default/files/gras/contenidogras/Reportes/Converge/PaginasProductos/Nettra_Riego/NettraFichaWebRiego.png", "Ficha Gráfica")</f>
        <v/>
      </c>
      <c r="L20" s="5">
        <f>HYPERLINK("https://nettra.tech/", "Web Oficial")</f>
        <v/>
      </c>
    </row>
    <row r="21" ht="24" customHeight="1">
      <c r="A21" s="6" t="inlineStr">
        <is>
          <t>Vegetal Intensivo</t>
        </is>
      </c>
      <c r="B21" s="6" t="inlineStr">
        <is>
          <t>Riego</t>
        </is>
      </c>
      <c r="C21" s="6" t="inlineStr">
        <is>
          <t>Wisflow</t>
        </is>
      </c>
      <c r="D21" s="7" t="inlineStr">
        <is>
          <t>Abril 2024</t>
        </is>
      </c>
      <c r="E21" s="8" t="inlineStr">
        <is>
          <t>Enero a Febrero 2025 (INIA La Estanzuela)</t>
        </is>
      </c>
      <c r="F21" s="7" t="inlineStr">
        <is>
          <t>2025-02-04</t>
        </is>
      </c>
      <c r="G21" s="9">
        <f>HYPERLINK("https://inia.uy/Converge/vegetal-intensivo/riego/Wisflow", "Ver Ficha")</f>
        <v/>
      </c>
      <c r="H21" s="9">
        <f>HYPERLINK("https://inia.uy/sites/default/files/gras/contenidogras/Reportes/Converge/PaginasProductos/Wisflow/Reporte%20Wisflow_MC.pdf", "Reporte (PDF)")</f>
        <v/>
      </c>
      <c r="I21" s="7" t="inlineStr">
        <is>
          <t>-</t>
        </is>
      </c>
      <c r="J21" s="9">
        <f>HYPERLINK("https://inia.uy/sites/default/files/gras/contenidogras/Reportes/Converge/PaginasProductos/Wisflow/Video_Wisflow.mp4", "Testimonio (Video)")</f>
        <v/>
      </c>
      <c r="K21" s="9">
        <f>HYPERLINK("https://inia.uy/sites/default/files/gras/contenidogras/Reportes/Converge/PaginasProductos/Wisflow/WisflowFichaWeb.png", "Ficha Gráfica")</f>
        <v/>
      </c>
      <c r="L21" s="9">
        <f>HYPERLINK("https://www.wisflow.uy/", "Web Oficial")</f>
        <v/>
      </c>
    </row>
    <row r="22" ht="24" customHeight="1">
      <c r="A22" s="2" t="inlineStr">
        <is>
          <t>Vegetal Intensivo</t>
        </is>
      </c>
      <c r="B22" s="2" t="inlineStr">
        <is>
          <t>Control De Aplicación</t>
        </is>
      </c>
      <c r="C22" s="2" t="inlineStr">
        <is>
          <t>SensorData</t>
        </is>
      </c>
      <c r="D22" s="3" t="inlineStr">
        <is>
          <t>Mayo 2025</t>
        </is>
      </c>
      <c r="E22" s="4" t="inlineStr">
        <is>
          <t>Ciclos de aplicación 2025–2026 (Vid y frutales)</t>
        </is>
      </c>
      <c r="F22" s="3" t="inlineStr">
        <is>
          <t>2026-06-26</t>
        </is>
      </c>
      <c r="G22" s="5">
        <f>HYPERLINK("https://inia.uy/Converge/vegetal-intensivo/Control-de-aplicaci%C3%B3n/SensorData", "Ver Ficha")</f>
        <v/>
      </c>
      <c r="H22" s="5">
        <f>HYPERLINK("https://inia.uy/sites/default/files/gras/contenidogras/Reportes/Converge/PaginasProductos/SensorData/REPORTE%20SENSORDATA.pdf", "Reporte (PDF)")</f>
        <v/>
      </c>
      <c r="I22" s="3" t="inlineStr">
        <is>
          <t>-</t>
        </is>
      </c>
      <c r="J22" s="5">
        <f>HYPERLINK("https://inia.uy/sites/default/files/gras/contenidogras/Reportes/Converge/PaginasProductos/SensorData/Testimonio%20SensorData.pdf", "Testimonio (PDF)")</f>
        <v/>
      </c>
      <c r="K22" s="5">
        <f>HYPERLINK("https://inia.uy/sites/default/files/gras/contenidogras/Reportes/Converge/PaginasProductos/SensorData/ficha%20web%20SensorData.png", "Ficha Gráfica")</f>
        <v/>
      </c>
      <c r="L22" s="5">
        <f>HYPERLINK("https://sensordata.com.uy/", "Web Oficial")</f>
        <v/>
      </c>
    </row>
    <row r="23" ht="24" customHeight="1">
      <c r="A23" s="6" t="inlineStr">
        <is>
          <t>Vegetal Intensivo</t>
        </is>
      </c>
      <c r="B23" s="6" t="inlineStr">
        <is>
          <t>Hidroponia</t>
        </is>
      </c>
      <c r="C23" s="6" t="inlineStr">
        <is>
          <t>Nettra</t>
        </is>
      </c>
      <c r="D23" s="7" t="inlineStr">
        <is>
          <t>Octubre 2024</t>
        </is>
      </c>
      <c r="E23" s="8" t="inlineStr">
        <is>
          <t>Setiembre a Diciembre 2024 (Verdeagua)</t>
        </is>
      </c>
      <c r="F23" s="7" t="inlineStr">
        <is>
          <t>2025-02-04</t>
        </is>
      </c>
      <c r="G23" s="9">
        <f>HYPERLINK("https://inia.uy/Converge/vegetal-intensivo/hidroponia/Nettra", "Ver Ficha")</f>
        <v/>
      </c>
      <c r="H23" s="9">
        <f>HYPERLINK("https://inia.uy/sites/default/files/gras/contenidogras/Reportes/Converge/PaginasProductos/Nettra/Reporte%20Nettra%20Hidroponia.pdf", "Reporte (PDF)")</f>
        <v/>
      </c>
      <c r="I23" s="7" t="inlineStr">
        <is>
          <t>-</t>
        </is>
      </c>
      <c r="J23" s="9">
        <f>HYPERLINK("https://inia.uy/sites/default/files/gras/contenidogras/Reportes/Converge/PaginasProductos/Nettra/Nettra_Testimonio.mp4", "Testimonio (Video)")</f>
        <v/>
      </c>
      <c r="K23" s="9">
        <f>HYPERLINK("https://inia.uy/sites/default/files/gras/contenidogras/Reportes/Converge/PaginasProductos/Nettra/NettraFichaWeb.png", "Ficha Gráfica")</f>
        <v/>
      </c>
      <c r="L23" s="9">
        <f>HYPERLINK("https://nettra.tech/", "Web Oficial")</f>
        <v/>
      </c>
    </row>
    <row r="24" ht="24" customHeight="1">
      <c r="A24" s="2" t="inlineStr">
        <is>
          <t>Vegetal Intensivo</t>
        </is>
      </c>
      <c r="B24" s="2" t="inlineStr">
        <is>
          <t>Gestión De Operaciones</t>
        </is>
      </c>
      <c r="C24" s="2" t="inlineStr">
        <is>
          <t>TGA</t>
        </is>
      </c>
      <c r="D24" s="3" t="inlineStr">
        <is>
          <t>Octubre 2025</t>
        </is>
      </c>
      <c r="E24" s="4" t="inlineStr">
        <is>
          <t>Febrero a Julio 2026 (Pruebas operativas en campo)</t>
        </is>
      </c>
      <c r="F24" s="3" t="inlineStr">
        <is>
          <t>2026-07-23</t>
        </is>
      </c>
      <c r="G24" s="5">
        <f>HYPERLINK("https://inia.uy/Converge/vegetal-intensivo/gesti%C3%B3n-de-operaciones/tga", "Ver Ficha")</f>
        <v/>
      </c>
      <c r="H24" s="5">
        <f>HYPERLINK("https://inia.uy/sites/default/files/gras/contenidogras/Reportes/Converge/PaginasProductos/TGA/Reporte%20TGA.pdf", "Reporte (PDF)")</f>
        <v/>
      </c>
      <c r="I24" s="5">
        <f>HYPERLINK("https://inia.uy/sites/default/files/gras/contenidogras/Reportes/Converge/PaginasProductos/TGA/Informe%20TGA.pdf", "Extendido (PDF)")</f>
        <v/>
      </c>
      <c r="J24" s="5">
        <f>HYPERLINK("https://inia.uy/sites/default/files/gras/contenidogras/Reportes/Converge/PaginasProductos/TGA/entrevista%20tga.mp4", "Testimonio (Video)")</f>
        <v/>
      </c>
      <c r="K24" s="5">
        <f>HYPERLINK("https://inia.uy/sites/default/files/gras/contenidogras/Reportes/Converge/PaginasProductos/TGA/TGA-ficha.png", "Ficha Gráfica")</f>
        <v/>
      </c>
      <c r="L24" s="5">
        <f>HYPERLINK("https://tugestionagropecuaria.com/", "Web Oficial")</f>
        <v/>
      </c>
    </row>
    <row r="25" ht="24" customHeight="1">
      <c r="A25" s="6" t="inlineStr">
        <is>
          <t>Vegetal Extensivo</t>
        </is>
      </c>
      <c r="B25" s="6" t="inlineStr">
        <is>
          <t>Agricultura De Precisión</t>
        </is>
      </c>
      <c r="C25" s="6" t="inlineStr">
        <is>
          <t>Solagro</t>
        </is>
      </c>
      <c r="D25" s="7" t="inlineStr">
        <is>
          <t>-</t>
        </is>
      </c>
      <c r="E25" s="8" t="inlineStr">
        <is>
          <t>Octubre 2025 (INIA La Estanzuela)</t>
        </is>
      </c>
      <c r="F25" s="7" t="inlineStr">
        <is>
          <t>2026-09-17</t>
        </is>
      </c>
      <c r="G25" s="9">
        <f>HYPERLINK("https://inia.uy/Converge/vegetal-extensivo/agricultura-de-precisión/Solagro", "Ver Ficha")</f>
        <v/>
      </c>
      <c r="H25" s="9">
        <f>HYPERLINK("https://inia.uy/sites/default/files/gras/contenidogras/Reportes/Converge/PaginasProductos/Solagro/Reporte_Solagro.pdf", "Reporte (PDF)")</f>
        <v/>
      </c>
      <c r="I25" s="9">
        <f>HYPERLINK("https://inia.uy/sites/default/files/gras/contenidogras/Reportes/Converge/PaginasProductos/Solagro/Informe_Solagro.pdf", "Extendido (PDF)")</f>
        <v/>
      </c>
      <c r="J25" s="9">
        <f>HYPERLINK("https://inia.uy/sites/default/files/gras/contenidogras/Reportes/Converge/PaginasProductos/Solagro/Testimonios_Solagro.pdf", "Testimonio (PDF)")</f>
        <v/>
      </c>
      <c r="K25" s="9">
        <f>HYPERLINK("https://inia.uy/sites/default/files/gras/contenidogras/Reportes/Converge/PaginasProductos/Solagro/Ficha_Solagro_Selenium.jpg", "Ficha Gráfica")</f>
        <v/>
      </c>
      <c r="L25" s="9">
        <f>HYPERLINK("https://solagro.com.uy/", "Web Oficial")</f>
        <v/>
      </c>
    </row>
  </sheetData>
  <autoFilter ref="A1:L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2026-10-13T13:57:09Z</dcterms:created>
  <dcterms:modified xsi:type="dcterms:W3CDTF">2026-10-13T13:57:09Z</dcterms:modified>
</cp:coreProperties>
</file>